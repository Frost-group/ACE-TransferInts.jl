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ati\Desktop\"/>
    </mc:Choice>
  </mc:AlternateContent>
  <xr:revisionPtr revIDLastSave="0" documentId="13_ncr:1_{975C83C4-1E81-43AE-9264-4BBFD6B43053}" xr6:coauthVersionLast="47" xr6:coauthVersionMax="47" xr10:uidLastSave="{00000000-0000-0000-0000-000000000000}"/>
  <bookViews>
    <workbookView xWindow="5910" yWindow="3660" windowWidth="21645" windowHeight="11325" xr2:uid="{66775A89-FBAC-46DC-8E97-1047A30CE31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2" i="3"/>
  <c r="C3" i="3"/>
  <c r="C4" i="3"/>
  <c r="C8" i="3"/>
  <c r="C8" i="4"/>
  <c r="C7" i="4"/>
  <c r="C6" i="4"/>
  <c r="C5" i="4"/>
  <c r="C4" i="4"/>
  <c r="C3" i="4"/>
  <c r="C2" i="4"/>
  <c r="C12" i="3"/>
  <c r="C11" i="3"/>
  <c r="C10" i="3"/>
  <c r="C9" i="3"/>
  <c r="C8" i="2"/>
  <c r="C3" i="2"/>
  <c r="C4" i="2"/>
  <c r="C5" i="2"/>
  <c r="C6" i="2"/>
  <c r="C7" i="2"/>
  <c r="C2" i="2"/>
</calcChain>
</file>

<file path=xl/sharedStrings.xml><?xml version="1.0" encoding="utf-8"?>
<sst xmlns="http://schemas.openxmlformats.org/spreadsheetml/2006/main" count="37" uniqueCount="11">
  <si>
    <t>RMSE</t>
  </si>
  <si>
    <t>MAE</t>
  </si>
  <si>
    <t>p</t>
  </si>
  <si>
    <t>q</t>
  </si>
  <si>
    <t>rcut</t>
  </si>
  <si>
    <t>T-degree</t>
  </si>
  <si>
    <t>q-p</t>
  </si>
  <si>
    <t>+</t>
  </si>
  <si>
    <t>Test RMSE</t>
  </si>
  <si>
    <t>totaldegree</t>
  </si>
  <si>
    <t>test_RMSE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</si>
</sst>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charset val="222"/>
      <scheme val="minor"/>
    </font>
    <font>
      <sz val="11"/>
      <color rgb="FF184D47"/>
      <name val="Montserrat"/>
      <charset val="222"/>
    </font>
    <font>
      <sz val="11"/>
      <color theme="1"/>
      <name val="Aptos Display"/>
      <scheme val="major"/>
    </font>
    <font>
      <sz val="11"/>
      <color rgb="FF184D47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2" xfId="0" applyNumberFormat="1" applyBorder="1"/>
    <xf numFmtId="1" fontId="0" fillId="0" borderId="2" xfId="0" applyNumberFormat="1" applyBorder="1"/>
    <xf numFmtId="2" fontId="0" fillId="0" borderId="0" xfId="0" applyNumberFormat="1"/>
    <xf numFmtId="0" fontId="0" fillId="2" borderId="0" xfId="0" applyFill="1"/>
    <xf numFmtId="0" fontId="0" fillId="2" borderId="2" xfId="0" applyFill="1" applyBorder="1"/>
    <xf numFmtId="1" fontId="0" fillId="2" borderId="2" xfId="0" applyNumberFormat="1" applyFill="1" applyBorder="1"/>
    <xf numFmtId="2" fontId="0" fillId="2" borderId="2" xfId="0" applyNumberFormat="1" applyFill="1" applyBorder="1"/>
    <xf numFmtId="165" fontId="0" fillId="0" borderId="0" xfId="0" applyNumberFormat="1"/>
    <xf numFmtId="165" fontId="1" fillId="0" borderId="0" xfId="0" applyNumberFormat="1" applyFont="1"/>
    <xf numFmtId="165" fontId="0" fillId="2" borderId="0" xfId="0" applyNumberFormat="1" applyFill="1"/>
    <xf numFmtId="0" fontId="2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0.00</c:formatCode>
                <c:ptCount val="7"/>
                <c:pt idx="0">
                  <c:v>13</c:v>
                </c:pt>
                <c:pt idx="1">
                  <c:v>13.3</c:v>
                </c:pt>
                <c:pt idx="2">
                  <c:v>13.45</c:v>
                </c:pt>
                <c:pt idx="3">
                  <c:v>13.6</c:v>
                </c:pt>
                <c:pt idx="4">
                  <c:v>13.9</c:v>
                </c:pt>
                <c:pt idx="5">
                  <c:v>14.2</c:v>
                </c:pt>
                <c:pt idx="6">
                  <c:v>14.5</c:v>
                </c:pt>
              </c:numCache>
            </c:numRef>
          </c:xVal>
          <c:yVal>
            <c:numRef>
              <c:f>Sheet1!$B$2:$B$8</c:f>
              <c:numCache>
                <c:formatCode>0.000</c:formatCode>
                <c:ptCount val="7"/>
                <c:pt idx="0">
                  <c:v>21.318999999999999</c:v>
                </c:pt>
                <c:pt idx="1">
                  <c:v>14.218999999999999</c:v>
                </c:pt>
                <c:pt idx="2">
                  <c:v>11.77</c:v>
                </c:pt>
                <c:pt idx="3">
                  <c:v>11.476000000000001</c:v>
                </c:pt>
                <c:pt idx="4">
                  <c:v>38.802</c:v>
                </c:pt>
                <c:pt idx="5">
                  <c:v>39.104999999999997</c:v>
                </c:pt>
                <c:pt idx="6">
                  <c:v>39.209000000000003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3-4CEF-B003-534C66B5D1F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0.00</c:formatCode>
                <c:ptCount val="7"/>
                <c:pt idx="0">
                  <c:v>13</c:v>
                </c:pt>
                <c:pt idx="1">
                  <c:v>13.3</c:v>
                </c:pt>
                <c:pt idx="2">
                  <c:v>13.45</c:v>
                </c:pt>
                <c:pt idx="3">
                  <c:v>13.6</c:v>
                </c:pt>
                <c:pt idx="4">
                  <c:v>13.9</c:v>
                </c:pt>
                <c:pt idx="5">
                  <c:v>14.2</c:v>
                </c:pt>
                <c:pt idx="6">
                  <c:v>14.5</c:v>
                </c:pt>
              </c:numCache>
            </c:numRef>
          </c:xVal>
          <c:yVal>
            <c:numRef>
              <c:f>Sheet1!$C$2:$C$8</c:f>
              <c:numCache>
                <c:formatCode>0.000</c:formatCode>
                <c:ptCount val="7"/>
                <c:pt idx="0">
                  <c:v>14.818</c:v>
                </c:pt>
                <c:pt idx="1">
                  <c:v>9.2889999999999997</c:v>
                </c:pt>
                <c:pt idx="2">
                  <c:v>8.3829999999999991</c:v>
                </c:pt>
                <c:pt idx="3">
                  <c:v>8.0850000000000009</c:v>
                </c:pt>
                <c:pt idx="4">
                  <c:v>32.591000000000001</c:v>
                </c:pt>
                <c:pt idx="5">
                  <c:v>32.981999999999999</c:v>
                </c:pt>
                <c:pt idx="6">
                  <c:v>33.116999999999997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63-4CEF-B003-534C66B5D1F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test_RMSE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</c:f>
              <c:numCache>
                <c:formatCode>0.00</c:formatCode>
                <c:ptCount val="7"/>
                <c:pt idx="0">
                  <c:v>13</c:v>
                </c:pt>
                <c:pt idx="1">
                  <c:v>13.3</c:v>
                </c:pt>
                <c:pt idx="2">
                  <c:v>13.45</c:v>
                </c:pt>
                <c:pt idx="3">
                  <c:v>13.6</c:v>
                </c:pt>
                <c:pt idx="4">
                  <c:v>13.9</c:v>
                </c:pt>
                <c:pt idx="5">
                  <c:v>14.2</c:v>
                </c:pt>
                <c:pt idx="6">
                  <c:v>14.5</c:v>
                </c:pt>
              </c:numCache>
            </c:numRef>
          </c:xVal>
          <c:yVal>
            <c:numRef>
              <c:f>Sheet1!$D$2:$D$8</c:f>
              <c:numCache>
                <c:formatCode>0.000</c:formatCode>
                <c:ptCount val="7"/>
                <c:pt idx="0">
                  <c:v>24.061</c:v>
                </c:pt>
                <c:pt idx="1">
                  <c:v>11.308999999999999</c:v>
                </c:pt>
                <c:pt idx="2">
                  <c:v>13.449</c:v>
                </c:pt>
                <c:pt idx="3">
                  <c:v>12.606</c:v>
                </c:pt>
                <c:pt idx="4">
                  <c:v>40.503999999999998</c:v>
                </c:pt>
                <c:pt idx="5">
                  <c:v>40.771000000000001</c:v>
                </c:pt>
                <c:pt idx="6">
                  <c:v>40.853999999999999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63-4CEF-B003-534C66B5D1F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MAE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</c:f>
              <c:numCache>
                <c:formatCode>0.00</c:formatCode>
                <c:ptCount val="7"/>
                <c:pt idx="0">
                  <c:v>13</c:v>
                </c:pt>
                <c:pt idx="1">
                  <c:v>13.3</c:v>
                </c:pt>
                <c:pt idx="2">
                  <c:v>13.45</c:v>
                </c:pt>
                <c:pt idx="3">
                  <c:v>13.6</c:v>
                </c:pt>
                <c:pt idx="4">
                  <c:v>13.9</c:v>
                </c:pt>
                <c:pt idx="5">
                  <c:v>14.2</c:v>
                </c:pt>
                <c:pt idx="6">
                  <c:v>14.5</c:v>
                </c:pt>
              </c:numCache>
            </c:numRef>
          </c:xVal>
          <c:yVal>
            <c:numRef>
              <c:f>Sheet1!$E$2:$E$8</c:f>
              <c:numCache>
                <c:formatCode>0.000</c:formatCode>
                <c:ptCount val="7"/>
                <c:pt idx="0">
                  <c:v>16.141999999999999</c:v>
                </c:pt>
                <c:pt idx="1">
                  <c:v>7.5819999999999999</c:v>
                </c:pt>
                <c:pt idx="2">
                  <c:v>9.2650000000000006</c:v>
                </c:pt>
                <c:pt idx="3">
                  <c:v>8.7840000000000007</c:v>
                </c:pt>
                <c:pt idx="4">
                  <c:v>33.869</c:v>
                </c:pt>
                <c:pt idx="5">
                  <c:v>34.25</c:v>
                </c:pt>
                <c:pt idx="6">
                  <c:v>34.372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63-4CEF-B003-534C66B5D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757552"/>
        <c:axId val="1507758992"/>
      </c:scatterChart>
      <c:valAx>
        <c:axId val="15077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58992"/>
        <c:crosses val="autoZero"/>
        <c:crossBetween val="midCat"/>
      </c:valAx>
      <c:valAx>
        <c:axId val="15077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5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RMSE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Sheet2!$A$2:$A$8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Sheet2!$D$2:$D$8</c:f>
              <c:numCache>
                <c:formatCode>General</c:formatCode>
                <c:ptCount val="7"/>
                <c:pt idx="0">
                  <c:v>39.561999999999998</c:v>
                </c:pt>
                <c:pt idx="1">
                  <c:v>39.529000000000003</c:v>
                </c:pt>
                <c:pt idx="2">
                  <c:v>39.546999999999997</c:v>
                </c:pt>
                <c:pt idx="3">
                  <c:v>39.027999999999999</c:v>
                </c:pt>
                <c:pt idx="4">
                  <c:v>11.476000000000001</c:v>
                </c:pt>
                <c:pt idx="5">
                  <c:v>11.478999999999999</c:v>
                </c:pt>
                <c:pt idx="6">
                  <c:v>40.558999999999997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F-4A8A-96D3-D2FC19BDBA46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MAE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Sheet2!$A$2:$A$8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Sheet2!$E$2:$E$8</c:f>
              <c:numCache>
                <c:formatCode>General</c:formatCode>
                <c:ptCount val="7"/>
                <c:pt idx="0">
                  <c:v>33.667000000000002</c:v>
                </c:pt>
                <c:pt idx="1">
                  <c:v>33.564</c:v>
                </c:pt>
                <c:pt idx="2">
                  <c:v>33.543999999999997</c:v>
                </c:pt>
                <c:pt idx="3">
                  <c:v>32.868000000000002</c:v>
                </c:pt>
                <c:pt idx="4">
                  <c:v>8.0850000000000009</c:v>
                </c:pt>
                <c:pt idx="5">
                  <c:v>8.0950000000000006</c:v>
                </c:pt>
                <c:pt idx="6">
                  <c:v>34.905999999999999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8F-4A8A-96D3-D2FC19BDBA46}"/>
            </c:ext>
          </c:extLst>
        </c:ser>
        <c:ser>
          <c:idx val="2"/>
          <c:order val="2"/>
          <c:tx>
            <c:strRef>
              <c:f>Sheet2!$F$1</c:f>
              <c:strCache>
                <c:ptCount val="1"/>
                <c:pt idx="0">
                  <c:v>Test RMSE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Sheet2!$A$2:$A$8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Sheet2!$F$2:$F$8</c:f>
              <c:numCache>
                <c:formatCode>General</c:formatCode>
                <c:ptCount val="7"/>
                <c:pt idx="0">
                  <c:v>40.933999999999997</c:v>
                </c:pt>
                <c:pt idx="1">
                  <c:v>40.978999999999999</c:v>
                </c:pt>
                <c:pt idx="2">
                  <c:v>41.055</c:v>
                </c:pt>
                <c:pt idx="3">
                  <c:v>40.655999999999999</c:v>
                </c:pt>
                <c:pt idx="4">
                  <c:v>12.606</c:v>
                </c:pt>
                <c:pt idx="5">
                  <c:v>12.727</c:v>
                </c:pt>
                <c:pt idx="6">
                  <c:v>41.735999999999997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8F-4A8A-96D3-D2FC19BDBA46}"/>
            </c:ext>
          </c:extLst>
        </c:ser>
        <c:ser>
          <c:idx val="3"/>
          <c:order val="3"/>
          <c:tx>
            <c:strRef>
              <c:f>Sheet2!$G$1</c:f>
              <c:strCache>
                <c:ptCount val="1"/>
                <c:pt idx="0">
                  <c:v>MAE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Sheet2!$A$2:$A$8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Sheet2!$G$2:$G$8</c:f>
              <c:numCache>
                <c:formatCode>General</c:formatCode>
                <c:ptCount val="7"/>
                <c:pt idx="0">
                  <c:v>34.591999999999999</c:v>
                </c:pt>
                <c:pt idx="1">
                  <c:v>34.594999999999999</c:v>
                </c:pt>
                <c:pt idx="2">
                  <c:v>34.68</c:v>
                </c:pt>
                <c:pt idx="3">
                  <c:v>34.101999999999997</c:v>
                </c:pt>
                <c:pt idx="4">
                  <c:v>8.7840000000000007</c:v>
                </c:pt>
                <c:pt idx="5">
                  <c:v>8.8160000000000007</c:v>
                </c:pt>
                <c:pt idx="6">
                  <c:v>35.808999999999997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8F-4A8A-96D3-D2FC19BDB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265600"/>
        <c:axId val="1728263200"/>
      </c:scatterChart>
      <c:valAx>
        <c:axId val="172826560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63200"/>
        <c:crosses val="autoZero"/>
        <c:crossBetween val="midCat"/>
      </c:valAx>
      <c:valAx>
        <c:axId val="17282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6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test_RMSE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Sheet3!$C$2:$C$12</c:f>
              <c:numCache>
                <c:formatCode>0</c:formatCode>
                <c:ptCount val="11"/>
                <c:pt idx="0">
                  <c:v>31</c:v>
                </c:pt>
                <c:pt idx="1">
                  <c:v>29</c:v>
                </c:pt>
                <c:pt idx="2">
                  <c:v>27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23</c:v>
                </c:pt>
                <c:pt idx="7">
                  <c:v>21</c:v>
                </c:pt>
                <c:pt idx="8">
                  <c:v>19</c:v>
                </c:pt>
                <c:pt idx="9">
                  <c:v>17</c:v>
                </c:pt>
                <c:pt idx="10">
                  <c:v>15</c:v>
                </c:pt>
              </c:numCache>
            </c:numRef>
          </c:xVal>
          <c:yVal>
            <c:numRef>
              <c:f>Sheet3!$F$2:$F$12</c:f>
              <c:numCache>
                <c:formatCode>General</c:formatCode>
                <c:ptCount val="11"/>
                <c:pt idx="0">
                  <c:v>12.586</c:v>
                </c:pt>
                <c:pt idx="1">
                  <c:v>12.452999999999999</c:v>
                </c:pt>
                <c:pt idx="2">
                  <c:v>12.42</c:v>
                </c:pt>
                <c:pt idx="3">
                  <c:v>12.430999999999999</c:v>
                </c:pt>
                <c:pt idx="4">
                  <c:v>12.452999999999999</c:v>
                </c:pt>
                <c:pt idx="5">
                  <c:v>12.481</c:v>
                </c:pt>
                <c:pt idx="6">
                  <c:v>12.513999999999999</c:v>
                </c:pt>
                <c:pt idx="7">
                  <c:v>12.573</c:v>
                </c:pt>
                <c:pt idx="8">
                  <c:v>12.606</c:v>
                </c:pt>
                <c:pt idx="9">
                  <c:v>12.727</c:v>
                </c:pt>
                <c:pt idx="10">
                  <c:v>12.643000000000001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B-3641-8F71-5D766650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770000"/>
        <c:axId val="692801600"/>
      </c:scatterChart>
      <c:valAx>
        <c:axId val="69277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01600"/>
        <c:crosses val="autoZero"/>
        <c:crossBetween val="midCat"/>
      </c:valAx>
      <c:valAx>
        <c:axId val="6928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7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Sheet3!$C$2:$C$12</c:f>
              <c:numCache>
                <c:formatCode>0</c:formatCode>
                <c:ptCount val="11"/>
                <c:pt idx="0">
                  <c:v>31</c:v>
                </c:pt>
                <c:pt idx="1">
                  <c:v>29</c:v>
                </c:pt>
                <c:pt idx="2">
                  <c:v>27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23</c:v>
                </c:pt>
                <c:pt idx="7">
                  <c:v>21</c:v>
                </c:pt>
                <c:pt idx="8">
                  <c:v>19</c:v>
                </c:pt>
                <c:pt idx="9">
                  <c:v>17</c:v>
                </c:pt>
                <c:pt idx="10">
                  <c:v>15</c:v>
                </c:pt>
              </c:numCache>
            </c:numRef>
          </c:xVal>
          <c:yVal>
            <c:numRef>
              <c:f>Sheet3!$G$2:$G$12</c:f>
              <c:numCache>
                <c:formatCode>General</c:formatCode>
                <c:ptCount val="11"/>
                <c:pt idx="0">
                  <c:v>8.7929999999999993</c:v>
                </c:pt>
                <c:pt idx="1">
                  <c:v>8.7449999999999992</c:v>
                </c:pt>
                <c:pt idx="2">
                  <c:v>8.7219999999999995</c:v>
                </c:pt>
                <c:pt idx="3">
                  <c:v>8.7129999999999992</c:v>
                </c:pt>
                <c:pt idx="4">
                  <c:v>8.7140000000000004</c:v>
                </c:pt>
                <c:pt idx="5">
                  <c:v>8.7219999999999995</c:v>
                </c:pt>
                <c:pt idx="6">
                  <c:v>8.7379999999999995</c:v>
                </c:pt>
                <c:pt idx="7">
                  <c:v>8.77</c:v>
                </c:pt>
                <c:pt idx="8">
                  <c:v>8.7840000000000007</c:v>
                </c:pt>
                <c:pt idx="9">
                  <c:v>8.8160000000000007</c:v>
                </c:pt>
                <c:pt idx="10">
                  <c:v>8.7759999999999998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7-9947-8D5D-1FB977C8E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17791"/>
        <c:axId val="878350879"/>
      </c:scatterChart>
      <c:valAx>
        <c:axId val="87821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350879"/>
        <c:crosses val="autoZero"/>
        <c:crossBetween val="midCat"/>
      </c:valAx>
      <c:valAx>
        <c:axId val="8783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1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Sheet4!$A$2:$A$8</c:f>
              <c:numCache>
                <c:formatCode>General</c:formatCode>
                <c:ptCount val="7"/>
                <c:pt idx="0">
                  <c:v>37</c:v>
                </c:pt>
                <c:pt idx="1">
                  <c:v>39</c:v>
                </c:pt>
                <c:pt idx="2">
                  <c:v>41</c:v>
                </c:pt>
                <c:pt idx="3">
                  <c:v>43</c:v>
                </c:pt>
                <c:pt idx="4">
                  <c:v>45</c:v>
                </c:pt>
                <c:pt idx="5">
                  <c:v>47</c:v>
                </c:pt>
                <c:pt idx="6">
                  <c:v>49</c:v>
                </c:pt>
              </c:numCache>
            </c:numRef>
          </c:xVal>
          <c:yVal>
            <c:numRef>
              <c:f>Sheet4!$F$2:$F$8</c:f>
              <c:numCache>
                <c:formatCode>General</c:formatCode>
                <c:ptCount val="7"/>
                <c:pt idx="0">
                  <c:v>40.752000000000002</c:v>
                </c:pt>
                <c:pt idx="1">
                  <c:v>40.679000000000002</c:v>
                </c:pt>
                <c:pt idx="2">
                  <c:v>40.545999999999999</c:v>
                </c:pt>
                <c:pt idx="3">
                  <c:v>12.381</c:v>
                </c:pt>
                <c:pt idx="4">
                  <c:v>12.430999999999999</c:v>
                </c:pt>
                <c:pt idx="5">
                  <c:v>12.456</c:v>
                </c:pt>
                <c:pt idx="6">
                  <c:v>41.618000000000002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1-4805-8C5E-0F9CAB7CF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09360"/>
        <c:axId val="730109840"/>
      </c:scatterChart>
      <c:valAx>
        <c:axId val="730109360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09840"/>
        <c:crosses val="autoZero"/>
        <c:crossBetween val="midCat"/>
      </c:valAx>
      <c:valAx>
        <c:axId val="7301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0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Sheet5!$A$2:$A$9</c:f>
              <c:numCache>
                <c:formatCode>0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</c:numCache>
            </c:numRef>
          </c:xVal>
          <c:yVal>
            <c:numRef>
              <c:f>Sheet5!$D$2:$D$9</c:f>
              <c:numCache>
                <c:formatCode>0.000</c:formatCode>
                <c:ptCount val="8"/>
                <c:pt idx="0">
                  <c:v>12.381</c:v>
                </c:pt>
                <c:pt idx="1">
                  <c:v>9.6590000000000007</c:v>
                </c:pt>
                <c:pt idx="2">
                  <c:v>8.9380000000000006</c:v>
                </c:pt>
                <c:pt idx="3">
                  <c:v>8.5079999999999991</c:v>
                </c:pt>
                <c:pt idx="4">
                  <c:v>8.5250000000000004</c:v>
                </c:pt>
                <c:pt idx="5" formatCode="General">
                  <c:v>8.0190000000000001</c:v>
                </c:pt>
                <c:pt idx="6" formatCode="General">
                  <c:v>8.0020000000000007</c:v>
                </c:pt>
                <c:pt idx="7" formatCode="General">
                  <c:v>7.9489999999999998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0-476F-A899-42B29FD1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792688"/>
        <c:axId val="1458793168"/>
      </c:scatterChart>
      <c:valAx>
        <c:axId val="14587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793168"/>
        <c:crosses val="autoZero"/>
        <c:crossBetween val="midCat"/>
      </c:valAx>
      <c:valAx>
        <c:axId val="1458793168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79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Sheet5!$A$2:$A$9</c:f>
              <c:numCache>
                <c:formatCode>0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</c:numCache>
            </c:numRef>
          </c:xVal>
          <c:yVal>
            <c:numRef>
              <c:f>Sheet5!$E$2:$E$9</c:f>
              <c:numCache>
                <c:formatCode>0.000</c:formatCode>
                <c:ptCount val="8"/>
                <c:pt idx="0">
                  <c:v>8.7040000000000006</c:v>
                </c:pt>
                <c:pt idx="1">
                  <c:v>6.8860000000000001</c:v>
                </c:pt>
                <c:pt idx="2">
                  <c:v>6.28</c:v>
                </c:pt>
                <c:pt idx="3">
                  <c:v>5.9450000000000003</c:v>
                </c:pt>
                <c:pt idx="4">
                  <c:v>5.8470000000000004</c:v>
                </c:pt>
                <c:pt idx="5" formatCode="General">
                  <c:v>5.3840000000000003</c:v>
                </c:pt>
                <c:pt idx="6" formatCode="General">
                  <c:v>5.2729999999999997</c:v>
                </c:pt>
                <c:pt idx="7" formatCode="General">
                  <c:v>5.12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8-42DF-8C14-B91E9975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792688"/>
        <c:axId val="1458793168"/>
      </c:scatterChart>
      <c:valAx>
        <c:axId val="14587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793168"/>
        <c:crosses val="autoZero"/>
        <c:crossBetween val="midCat"/>
      </c:valAx>
      <c:valAx>
        <c:axId val="1458793168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79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3</xdr:row>
      <xdr:rowOff>38099</xdr:rowOff>
    </xdr:from>
    <xdr:to>
      <xdr:col>18</xdr:col>
      <xdr:colOff>171450</xdr:colOff>
      <xdr:row>26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B16E3-17C3-AEFF-D425-F9EA906FE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3</xdr:row>
      <xdr:rowOff>9525</xdr:rowOff>
    </xdr:from>
    <xdr:to>
      <xdr:col>15</xdr:col>
      <xdr:colOff>333375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C315D-2A08-D646-40B5-C8F4514BC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163288</xdr:colOff>
      <xdr:row>16</xdr:row>
      <xdr:rowOff>121062</xdr:rowOff>
    </xdr:from>
    <xdr:to>
      <xdr:col>8</xdr:col>
      <xdr:colOff>276543</xdr:colOff>
      <xdr:row>30</xdr:row>
      <xdr:rowOff>170323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724296-0870-27BA-D96E-00BA6A0A0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146792</xdr:colOff>
      <xdr:row>33</xdr:row>
      <xdr:rowOff>55089</xdr:rowOff>
    </xdr:from>
    <xdr:to>
      <xdr:col>8</xdr:col>
      <xdr:colOff>260047</xdr:colOff>
      <xdr:row>47</xdr:row>
      <xdr:rowOff>104350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706406-C9F8-E86A-C79C-C4132465D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609601</xdr:colOff>
      <xdr:row>8</xdr:row>
      <xdr:rowOff>68262</xdr:rowOff>
    </xdr:from>
    <xdr:to>
      <xdr:col>9</xdr:col>
      <xdr:colOff>424658</xdr:colOff>
      <xdr:row>21</xdr:row>
      <xdr:rowOff>80168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C6A1A-11F8-B003-2DAB-F7BC7F6AB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0</xdr:row>
      <xdr:rowOff>109537</xdr:rowOff>
    </xdr:from>
    <xdr:to>
      <xdr:col>12</xdr:col>
      <xdr:colOff>438150</xdr:colOff>
      <xdr:row>13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231A9-1460-B520-E1FB-746E5EFE3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18</xdr:row>
      <xdr:rowOff>19050</xdr:rowOff>
    </xdr:from>
    <xdr:to>
      <xdr:col>9</xdr:col>
      <xdr:colOff>228600</xdr:colOff>
      <xdr:row>31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5C22F-1E23-47F2-8C68-F141DBCFE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0836-CA4C-4F55-BF8B-702E050CCA49}">
  <dimension ref="A1:I9"/>
  <sheetViews>
    <sheetView tabSelected="1" zoomScale="135" workbookViewId="0">
      <selection activeCell="G11" sqref="G11"/>
    </sheetView>
  </sheetViews>
  <sheetFormatPr defaultColWidth="8.875" defaultRowHeight="16.5" x14ac:dyDescent="0.3"/>
  <cols>
    <col min="1" max="1" width="6.375" customWidth="1"/>
    <col min="4" max="4" width="9.5" bestFit="1" customWidth="1"/>
    <col min="5" max="5" width="6.375" bestFit="1" customWidth="1"/>
  </cols>
  <sheetData>
    <row r="1" spans="1:9" ht="17.25" thickBot="1" x14ac:dyDescent="0.35">
      <c r="A1" s="4" t="s">
        <v>4</v>
      </c>
      <c r="B1" s="2" t="s">
        <v>0</v>
      </c>
      <c r="C1" s="2" t="s">
        <v>1</v>
      </c>
      <c r="D1" s="2" t="s">
        <v>10</v>
      </c>
      <c r="E1" s="2" t="s">
        <v>1</v>
      </c>
      <c r="G1" s="9" t="s">
        <v>2</v>
      </c>
      <c r="H1" s="10" t="s">
        <v>3</v>
      </c>
      <c r="I1" s="11" t="s">
        <v>5</v>
      </c>
    </row>
    <row r="2" spans="1:9" ht="17.25" thickBot="1" x14ac:dyDescent="0.35">
      <c r="A2" s="12">
        <v>13</v>
      </c>
      <c r="B2" s="19">
        <v>21.318999999999999</v>
      </c>
      <c r="C2" s="19">
        <v>14.818</v>
      </c>
      <c r="D2" s="19">
        <v>24.061</v>
      </c>
      <c r="E2" s="19">
        <v>16.141999999999999</v>
      </c>
      <c r="G2" s="6">
        <v>26</v>
      </c>
      <c r="H2" s="7">
        <v>45</v>
      </c>
      <c r="I2" s="8">
        <v>10</v>
      </c>
    </row>
    <row r="3" spans="1:9" x14ac:dyDescent="0.3">
      <c r="A3" s="12">
        <v>13.3</v>
      </c>
      <c r="B3" s="19">
        <v>14.218999999999999</v>
      </c>
      <c r="C3" s="20">
        <v>9.2889999999999997</v>
      </c>
      <c r="D3" s="20">
        <v>11.308999999999999</v>
      </c>
      <c r="E3" s="20">
        <v>7.5819999999999999</v>
      </c>
    </row>
    <row r="4" spans="1:9" x14ac:dyDescent="0.3">
      <c r="A4" s="14">
        <v>13.45</v>
      </c>
      <c r="B4" s="19">
        <v>11.77</v>
      </c>
      <c r="C4" s="19">
        <v>8.3829999999999991</v>
      </c>
      <c r="D4" s="19">
        <v>13.449</v>
      </c>
      <c r="E4" s="19">
        <v>9.2650000000000006</v>
      </c>
    </row>
    <row r="5" spans="1:9" x14ac:dyDescent="0.3">
      <c r="A5" s="18">
        <v>13.6</v>
      </c>
      <c r="B5" s="21">
        <v>11.476000000000001</v>
      </c>
      <c r="C5" s="21">
        <v>8.0850000000000009</v>
      </c>
      <c r="D5" s="21">
        <v>12.606</v>
      </c>
      <c r="E5" s="21">
        <v>8.7840000000000007</v>
      </c>
    </row>
    <row r="6" spans="1:9" x14ac:dyDescent="0.3">
      <c r="A6" s="12">
        <v>13.9</v>
      </c>
      <c r="B6" s="19">
        <v>38.802</v>
      </c>
      <c r="C6" s="19">
        <v>32.591000000000001</v>
      </c>
      <c r="D6" s="19">
        <v>40.503999999999998</v>
      </c>
      <c r="E6" s="19">
        <v>33.869</v>
      </c>
    </row>
    <row r="7" spans="1:9" x14ac:dyDescent="0.3">
      <c r="A7" s="12">
        <v>14.2</v>
      </c>
      <c r="B7" s="19">
        <v>39.104999999999997</v>
      </c>
      <c r="C7" s="19">
        <v>32.981999999999999</v>
      </c>
      <c r="D7" s="19">
        <v>40.771000000000001</v>
      </c>
      <c r="E7" s="19">
        <v>34.25</v>
      </c>
    </row>
    <row r="8" spans="1:9" x14ac:dyDescent="0.3">
      <c r="A8" s="12">
        <v>14.5</v>
      </c>
      <c r="B8" s="19">
        <v>39.209000000000003</v>
      </c>
      <c r="C8" s="19">
        <v>33.116999999999997</v>
      </c>
      <c r="D8" s="19">
        <v>40.853999999999999</v>
      </c>
      <c r="E8" s="19">
        <v>34.372</v>
      </c>
    </row>
    <row r="9" spans="1:9" x14ac:dyDescent="0.3">
      <c r="A9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C5BA-1B09-43B4-A661-2257B13309A9}">
  <dimension ref="A1:K8"/>
  <sheetViews>
    <sheetView zoomScale="157" workbookViewId="0">
      <selection activeCell="D10" sqref="D10"/>
    </sheetView>
  </sheetViews>
  <sheetFormatPr defaultColWidth="8.875" defaultRowHeight="16.5" x14ac:dyDescent="0.3"/>
  <cols>
    <col min="1" max="2" width="3.125" bestFit="1" customWidth="1"/>
    <col min="3" max="3" width="4" bestFit="1" customWidth="1"/>
    <col min="4" max="7" width="9" bestFit="1" customWidth="1"/>
    <col min="9" max="10" width="9" bestFit="1" customWidth="1"/>
  </cols>
  <sheetData>
    <row r="1" spans="1:11" ht="17.25" thickBot="1" x14ac:dyDescent="0.35">
      <c r="A1" s="2" t="s">
        <v>3</v>
      </c>
      <c r="B1" s="4" t="s">
        <v>2</v>
      </c>
      <c r="C1" s="4" t="s">
        <v>6</v>
      </c>
      <c r="D1" s="2" t="s">
        <v>0</v>
      </c>
      <c r="E1" s="2" t="s">
        <v>1</v>
      </c>
      <c r="F1" s="2" t="s">
        <v>8</v>
      </c>
      <c r="G1" s="2" t="s">
        <v>1</v>
      </c>
      <c r="I1" s="9" t="s">
        <v>4</v>
      </c>
      <c r="J1" s="11" t="s">
        <v>5</v>
      </c>
      <c r="K1" s="11"/>
    </row>
    <row r="2" spans="1:11" ht="17.25" thickBot="1" x14ac:dyDescent="0.35">
      <c r="A2">
        <v>25</v>
      </c>
      <c r="B2" s="3">
        <v>6</v>
      </c>
      <c r="C2" s="13">
        <f>A2-B2</f>
        <v>19</v>
      </c>
      <c r="D2">
        <v>39.561999999999998</v>
      </c>
      <c r="E2">
        <v>33.667000000000002</v>
      </c>
      <c r="F2">
        <v>40.933999999999997</v>
      </c>
      <c r="G2">
        <v>34.591999999999999</v>
      </c>
      <c r="I2" s="6">
        <v>13.6</v>
      </c>
      <c r="J2" s="8">
        <v>10</v>
      </c>
      <c r="K2" s="8"/>
    </row>
    <row r="3" spans="1:11" x14ac:dyDescent="0.3">
      <c r="A3">
        <v>30</v>
      </c>
      <c r="B3" s="3">
        <v>11</v>
      </c>
      <c r="C3" s="13">
        <f t="shared" ref="C3:C7" si="0">A3-B3</f>
        <v>19</v>
      </c>
      <c r="D3">
        <v>39.529000000000003</v>
      </c>
      <c r="E3" s="5">
        <v>33.564</v>
      </c>
      <c r="F3" s="5">
        <v>40.978999999999999</v>
      </c>
      <c r="G3" s="5">
        <v>34.594999999999999</v>
      </c>
    </row>
    <row r="4" spans="1:11" x14ac:dyDescent="0.3">
      <c r="A4">
        <v>35</v>
      </c>
      <c r="B4" s="3">
        <v>16</v>
      </c>
      <c r="C4" s="13">
        <f t="shared" si="0"/>
        <v>19</v>
      </c>
      <c r="D4">
        <v>39.546999999999997</v>
      </c>
      <c r="E4">
        <v>33.543999999999997</v>
      </c>
      <c r="F4">
        <v>41.055</v>
      </c>
      <c r="G4">
        <v>34.68</v>
      </c>
    </row>
    <row r="5" spans="1:11" x14ac:dyDescent="0.3">
      <c r="A5">
        <v>40</v>
      </c>
      <c r="B5" s="3">
        <v>21</v>
      </c>
      <c r="C5" s="13">
        <f t="shared" si="0"/>
        <v>19</v>
      </c>
      <c r="D5">
        <v>39.027999999999999</v>
      </c>
      <c r="E5">
        <v>32.868000000000002</v>
      </c>
      <c r="F5">
        <v>40.655999999999999</v>
      </c>
      <c r="G5">
        <v>34.101999999999997</v>
      </c>
    </row>
    <row r="6" spans="1:11" x14ac:dyDescent="0.3">
      <c r="A6" s="15">
        <v>45</v>
      </c>
      <c r="B6" s="16">
        <v>26</v>
      </c>
      <c r="C6" s="17">
        <f t="shared" si="0"/>
        <v>19</v>
      </c>
      <c r="D6" s="15">
        <v>11.476000000000001</v>
      </c>
      <c r="E6" s="15">
        <v>8.0850000000000009</v>
      </c>
      <c r="F6" s="15">
        <v>12.606</v>
      </c>
      <c r="G6" s="15">
        <v>8.7840000000000007</v>
      </c>
    </row>
    <row r="7" spans="1:11" x14ac:dyDescent="0.3">
      <c r="A7">
        <v>50</v>
      </c>
      <c r="B7" s="3">
        <v>31</v>
      </c>
      <c r="C7" s="13">
        <f t="shared" si="0"/>
        <v>19</v>
      </c>
      <c r="D7">
        <v>11.478999999999999</v>
      </c>
      <c r="E7">
        <v>8.0950000000000006</v>
      </c>
      <c r="F7">
        <v>12.727</v>
      </c>
      <c r="G7">
        <v>8.8160000000000007</v>
      </c>
    </row>
    <row r="8" spans="1:11" x14ac:dyDescent="0.3">
      <c r="A8">
        <v>55</v>
      </c>
      <c r="B8" s="3">
        <v>36</v>
      </c>
      <c r="C8" s="13">
        <f>A8-B8</f>
        <v>19</v>
      </c>
      <c r="D8">
        <v>40.558999999999997</v>
      </c>
      <c r="E8">
        <v>34.905999999999999</v>
      </c>
      <c r="F8">
        <v>41.735999999999997</v>
      </c>
      <c r="G8">
        <v>35.808999999999997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168A-7343-45E5-8590-8C2BC5ED8936}">
  <dimension ref="A1:G12"/>
  <sheetViews>
    <sheetView zoomScale="130" zoomScaleNormal="130" workbookViewId="0">
      <selection activeCell="C16" sqref="C16"/>
    </sheetView>
  </sheetViews>
  <sheetFormatPr defaultColWidth="8.875" defaultRowHeight="16.5" x14ac:dyDescent="0.3"/>
  <cols>
    <col min="1" max="1" width="6" customWidth="1"/>
    <col min="2" max="2" width="5.625" customWidth="1"/>
  </cols>
  <sheetData>
    <row r="1" spans="1:7" x14ac:dyDescent="0.3">
      <c r="A1" s="2" t="s">
        <v>3</v>
      </c>
      <c r="B1" s="4" t="s">
        <v>2</v>
      </c>
      <c r="C1" s="4" t="s">
        <v>6</v>
      </c>
      <c r="D1" s="2" t="s">
        <v>0</v>
      </c>
      <c r="E1" s="2" t="s">
        <v>1</v>
      </c>
      <c r="F1" s="2" t="s">
        <v>10</v>
      </c>
      <c r="G1" s="2" t="s">
        <v>1</v>
      </c>
    </row>
    <row r="2" spans="1:7" x14ac:dyDescent="0.3">
      <c r="A2">
        <v>45</v>
      </c>
      <c r="B2" s="3">
        <v>14</v>
      </c>
      <c r="C2" s="13">
        <f t="shared" ref="C2:C6" si="0">A2-B2</f>
        <v>31</v>
      </c>
      <c r="D2">
        <v>11.397</v>
      </c>
      <c r="E2">
        <v>8.2010000000000005</v>
      </c>
      <c r="F2">
        <v>12.586</v>
      </c>
      <c r="G2">
        <v>8.7929999999999993</v>
      </c>
    </row>
    <row r="3" spans="1:7" x14ac:dyDescent="0.3">
      <c r="A3">
        <v>45</v>
      </c>
      <c r="B3" s="3">
        <v>16</v>
      </c>
      <c r="C3" s="13">
        <f t="shared" si="0"/>
        <v>29</v>
      </c>
      <c r="D3">
        <v>11.260999999999999</v>
      </c>
      <c r="E3">
        <v>8.1219999999999999</v>
      </c>
      <c r="F3">
        <v>12.452999999999999</v>
      </c>
      <c r="G3">
        <v>8.7449999999999992</v>
      </c>
    </row>
    <row r="4" spans="1:7" x14ac:dyDescent="0.3">
      <c r="A4">
        <v>45</v>
      </c>
      <c r="B4" s="3">
        <v>18</v>
      </c>
      <c r="C4" s="13">
        <f>A4-B4</f>
        <v>27</v>
      </c>
      <c r="D4" s="22">
        <v>11.223000000000001</v>
      </c>
      <c r="E4" s="22">
        <v>8.0389999999999997</v>
      </c>
      <c r="F4" s="22">
        <v>12.42</v>
      </c>
      <c r="G4" s="22">
        <v>8.7219999999999995</v>
      </c>
    </row>
    <row r="5" spans="1:7" x14ac:dyDescent="0.3">
      <c r="A5">
        <v>45</v>
      </c>
      <c r="B5" s="3">
        <v>19</v>
      </c>
      <c r="C5" s="13">
        <f t="shared" si="0"/>
        <v>26</v>
      </c>
      <c r="D5" s="22">
        <v>11.238</v>
      </c>
      <c r="E5" s="22">
        <v>8.0129999999999999</v>
      </c>
      <c r="F5" s="22">
        <v>12.430999999999999</v>
      </c>
      <c r="G5" s="22">
        <v>8.7129999999999992</v>
      </c>
    </row>
    <row r="6" spans="1:7" x14ac:dyDescent="0.3">
      <c r="A6">
        <v>45</v>
      </c>
      <c r="B6" s="3">
        <v>20</v>
      </c>
      <c r="C6" s="13">
        <f t="shared" si="0"/>
        <v>25</v>
      </c>
      <c r="D6" s="22">
        <v>11.266</v>
      </c>
      <c r="E6" s="23">
        <v>8.0009999999999994</v>
      </c>
      <c r="F6" s="23">
        <v>12.452999999999999</v>
      </c>
      <c r="G6" s="23">
        <v>8.7140000000000004</v>
      </c>
    </row>
    <row r="7" spans="1:7" x14ac:dyDescent="0.3">
      <c r="A7">
        <v>45</v>
      </c>
      <c r="B7" s="3">
        <v>21</v>
      </c>
      <c r="C7" s="13">
        <f t="shared" ref="C7:C12" si="1">A7-B7</f>
        <v>24</v>
      </c>
      <c r="D7" s="22">
        <v>11.305</v>
      </c>
      <c r="E7" s="23">
        <v>8.0009999999999994</v>
      </c>
      <c r="F7" s="23">
        <v>12.481</v>
      </c>
      <c r="G7" s="23">
        <v>8.7219999999999995</v>
      </c>
    </row>
    <row r="8" spans="1:7" x14ac:dyDescent="0.3">
      <c r="A8">
        <v>45</v>
      </c>
      <c r="B8" s="3">
        <v>22</v>
      </c>
      <c r="C8" s="13">
        <f t="shared" si="1"/>
        <v>23</v>
      </c>
      <c r="D8" s="22">
        <v>11.349</v>
      </c>
      <c r="E8" s="22">
        <v>8.0129999999999999</v>
      </c>
      <c r="F8" s="22">
        <v>12.513999999999999</v>
      </c>
      <c r="G8" s="22">
        <v>8.7379999999999995</v>
      </c>
    </row>
    <row r="9" spans="1:7" x14ac:dyDescent="0.3">
      <c r="A9">
        <v>45</v>
      </c>
      <c r="B9" s="3">
        <v>24</v>
      </c>
      <c r="C9" s="13">
        <f t="shared" si="1"/>
        <v>21</v>
      </c>
      <c r="D9" s="22">
        <v>11.430999999999999</v>
      </c>
      <c r="E9" s="22">
        <v>8.0559999999999992</v>
      </c>
      <c r="F9" s="22">
        <v>12.573</v>
      </c>
      <c r="G9" s="22">
        <v>8.77</v>
      </c>
    </row>
    <row r="10" spans="1:7" x14ac:dyDescent="0.3">
      <c r="A10" s="15">
        <v>45</v>
      </c>
      <c r="B10" s="16">
        <v>26</v>
      </c>
      <c r="C10" s="17">
        <f t="shared" si="1"/>
        <v>19</v>
      </c>
      <c r="D10" s="24">
        <v>11.476000000000001</v>
      </c>
      <c r="E10" s="24">
        <v>8.0850000000000009</v>
      </c>
      <c r="F10" s="24">
        <v>12.606</v>
      </c>
      <c r="G10" s="24">
        <v>8.7840000000000007</v>
      </c>
    </row>
    <row r="11" spans="1:7" x14ac:dyDescent="0.3">
      <c r="A11">
        <v>45</v>
      </c>
      <c r="B11" s="3">
        <v>28</v>
      </c>
      <c r="C11" s="13">
        <f t="shared" si="1"/>
        <v>17</v>
      </c>
      <c r="D11" s="22">
        <v>11.478999999999999</v>
      </c>
      <c r="E11" s="22">
        <v>8.0950000000000006</v>
      </c>
      <c r="F11" s="22">
        <v>12.727</v>
      </c>
      <c r="G11" s="22">
        <v>8.8160000000000007</v>
      </c>
    </row>
    <row r="12" spans="1:7" x14ac:dyDescent="0.3">
      <c r="A12">
        <v>45</v>
      </c>
      <c r="B12" s="3">
        <v>30</v>
      </c>
      <c r="C12" s="13">
        <f t="shared" si="1"/>
        <v>15</v>
      </c>
      <c r="D12" s="22">
        <v>11.48</v>
      </c>
      <c r="E12" s="22">
        <v>8.093</v>
      </c>
      <c r="F12" s="22">
        <v>12.643000000000001</v>
      </c>
      <c r="G12" s="22">
        <v>8.7759999999999998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85DC-209F-43B7-9BA3-2D4996B44848}">
  <dimension ref="A1:M12"/>
  <sheetViews>
    <sheetView zoomScale="115" zoomScaleNormal="115" workbookViewId="0">
      <selection activeCell="F1" sqref="F1"/>
    </sheetView>
  </sheetViews>
  <sheetFormatPr defaultColWidth="8.875" defaultRowHeight="16.5" x14ac:dyDescent="0.3"/>
  <cols>
    <col min="6" max="6" width="9.625" bestFit="1" customWidth="1"/>
  </cols>
  <sheetData>
    <row r="1" spans="1:13" x14ac:dyDescent="0.3">
      <c r="A1" s="2" t="s">
        <v>3</v>
      </c>
      <c r="B1" s="4" t="s">
        <v>2</v>
      </c>
      <c r="C1" s="4" t="s">
        <v>6</v>
      </c>
      <c r="D1" s="2" t="s">
        <v>0</v>
      </c>
      <c r="E1" s="2" t="s">
        <v>1</v>
      </c>
      <c r="F1" s="2" t="s">
        <v>10</v>
      </c>
      <c r="G1" s="2" t="s">
        <v>1</v>
      </c>
    </row>
    <row r="2" spans="1:13" x14ac:dyDescent="0.3">
      <c r="A2">
        <v>37</v>
      </c>
      <c r="B2" s="3">
        <v>19</v>
      </c>
      <c r="C2" s="13">
        <f>A2-B2</f>
        <v>18</v>
      </c>
      <c r="D2">
        <v>39.168999999999997</v>
      </c>
      <c r="E2">
        <v>33.057000000000002</v>
      </c>
      <c r="F2">
        <v>40.752000000000002</v>
      </c>
      <c r="G2">
        <v>34.234000000000002</v>
      </c>
    </row>
    <row r="3" spans="1:13" x14ac:dyDescent="0.3">
      <c r="A3">
        <v>39</v>
      </c>
      <c r="B3" s="3">
        <v>19</v>
      </c>
      <c r="C3" s="13">
        <f t="shared" ref="C3:C7" si="0">A3-B3</f>
        <v>20</v>
      </c>
      <c r="D3">
        <v>39.066000000000003</v>
      </c>
      <c r="E3" s="5">
        <v>32.911000000000001</v>
      </c>
      <c r="F3" s="5">
        <v>40.679000000000002</v>
      </c>
      <c r="G3" s="5">
        <v>34.128999999999998</v>
      </c>
    </row>
    <row r="4" spans="1:13" x14ac:dyDescent="0.3">
      <c r="A4">
        <v>41</v>
      </c>
      <c r="B4" s="3">
        <v>19</v>
      </c>
      <c r="C4" s="13">
        <f t="shared" si="0"/>
        <v>22</v>
      </c>
      <c r="D4">
        <v>38.904000000000003</v>
      </c>
      <c r="E4">
        <v>32.701999999999998</v>
      </c>
      <c r="F4">
        <v>40.545999999999999</v>
      </c>
      <c r="G4">
        <v>33.948</v>
      </c>
    </row>
    <row r="5" spans="1:13" x14ac:dyDescent="0.3">
      <c r="A5" s="15">
        <v>43</v>
      </c>
      <c r="B5" s="16">
        <v>19</v>
      </c>
      <c r="C5" s="17">
        <f t="shared" si="0"/>
        <v>24</v>
      </c>
      <c r="D5" s="15">
        <v>11.218999999999999</v>
      </c>
      <c r="E5" s="15">
        <v>8.0039999999999996</v>
      </c>
      <c r="F5" s="15">
        <v>12.381</v>
      </c>
      <c r="G5" s="15">
        <v>8.7040000000000006</v>
      </c>
    </row>
    <row r="6" spans="1:13" x14ac:dyDescent="0.3">
      <c r="A6">
        <v>45</v>
      </c>
      <c r="B6" s="3">
        <v>19</v>
      </c>
      <c r="C6" s="13">
        <f t="shared" si="0"/>
        <v>26</v>
      </c>
      <c r="D6">
        <v>11.238</v>
      </c>
      <c r="E6">
        <v>8.0129999999999999</v>
      </c>
      <c r="F6">
        <v>12.430999999999999</v>
      </c>
      <c r="G6">
        <v>8.7129999999999992</v>
      </c>
    </row>
    <row r="7" spans="1:13" x14ac:dyDescent="0.3">
      <c r="A7">
        <v>47</v>
      </c>
      <c r="B7" s="3">
        <v>19</v>
      </c>
      <c r="C7" s="13">
        <f t="shared" si="0"/>
        <v>28</v>
      </c>
      <c r="D7">
        <v>11.24</v>
      </c>
      <c r="E7">
        <v>8.0129999999999999</v>
      </c>
      <c r="F7">
        <v>12.456</v>
      </c>
      <c r="G7">
        <v>8.7110000000000003</v>
      </c>
    </row>
    <row r="8" spans="1:13" x14ac:dyDescent="0.3">
      <c r="A8">
        <v>49</v>
      </c>
      <c r="B8" s="3">
        <v>19</v>
      </c>
      <c r="C8" s="13">
        <f>A8-B8</f>
        <v>30</v>
      </c>
      <c r="D8">
        <v>40.241</v>
      </c>
      <c r="E8">
        <v>34.453000000000003</v>
      </c>
      <c r="F8">
        <v>41.618000000000002</v>
      </c>
      <c r="G8">
        <v>35.606999999999999</v>
      </c>
    </row>
    <row r="12" spans="1:13" x14ac:dyDescent="0.3">
      <c r="M12" t="s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BD83-CB3B-410A-B2D6-5818FCB9EEB8}">
  <dimension ref="A1:E9"/>
  <sheetViews>
    <sheetView workbookViewId="0">
      <selection activeCell="D1" sqref="D1"/>
    </sheetView>
  </sheetViews>
  <sheetFormatPr defaultRowHeight="16.5" x14ac:dyDescent="0.3"/>
  <cols>
    <col min="1" max="1" width="10.875" customWidth="1"/>
    <col min="4" max="4" width="9.5" bestFit="1" customWidth="1"/>
  </cols>
  <sheetData>
    <row r="1" spans="1:5" x14ac:dyDescent="0.3">
      <c r="A1" s="4" t="s">
        <v>9</v>
      </c>
      <c r="B1" s="2" t="s">
        <v>0</v>
      </c>
      <c r="C1" s="2" t="s">
        <v>1</v>
      </c>
      <c r="D1" s="2" t="s">
        <v>10</v>
      </c>
      <c r="E1" s="2" t="s">
        <v>1</v>
      </c>
    </row>
    <row r="2" spans="1:5" x14ac:dyDescent="0.3">
      <c r="A2" s="13">
        <v>10</v>
      </c>
      <c r="B2" s="19">
        <v>11.218999999999999</v>
      </c>
      <c r="C2" s="19">
        <v>8.0039999999999996</v>
      </c>
      <c r="D2" s="19">
        <v>12.381</v>
      </c>
      <c r="E2" s="19">
        <v>8.7040000000000006</v>
      </c>
    </row>
    <row r="3" spans="1:5" x14ac:dyDescent="0.3">
      <c r="A3" s="13">
        <v>15</v>
      </c>
      <c r="B3" s="19">
        <v>8.7460000000000004</v>
      </c>
      <c r="C3" s="20">
        <v>6.3659999999999997</v>
      </c>
      <c r="D3" s="20">
        <v>9.6590000000000007</v>
      </c>
      <c r="E3" s="20">
        <v>6.8860000000000001</v>
      </c>
    </row>
    <row r="4" spans="1:5" x14ac:dyDescent="0.3">
      <c r="A4" s="13">
        <v>20</v>
      </c>
      <c r="B4" s="19">
        <v>8.0920000000000005</v>
      </c>
      <c r="C4" s="19">
        <v>5.7359999999999998</v>
      </c>
      <c r="D4" s="19">
        <v>8.9380000000000006</v>
      </c>
      <c r="E4" s="19">
        <v>6.28</v>
      </c>
    </row>
    <row r="5" spans="1:5" x14ac:dyDescent="0.3">
      <c r="A5" s="17">
        <v>25</v>
      </c>
      <c r="B5" s="21">
        <v>7.2460000000000004</v>
      </c>
      <c r="C5" s="21">
        <v>5.173</v>
      </c>
      <c r="D5" s="21">
        <v>8.5079999999999991</v>
      </c>
      <c r="E5" s="21">
        <v>5.9450000000000003</v>
      </c>
    </row>
    <row r="6" spans="1:5" x14ac:dyDescent="0.3">
      <c r="A6" s="13">
        <v>30</v>
      </c>
      <c r="B6" s="19">
        <v>7.0030000000000001</v>
      </c>
      <c r="C6" s="19">
        <v>5.0170000000000003</v>
      </c>
      <c r="D6" s="19">
        <v>8.5250000000000004</v>
      </c>
      <c r="E6" s="19">
        <v>5.8470000000000004</v>
      </c>
    </row>
    <row r="7" spans="1:5" x14ac:dyDescent="0.3">
      <c r="A7" s="13">
        <v>35</v>
      </c>
      <c r="B7">
        <v>6.2510000000000003</v>
      </c>
      <c r="C7">
        <v>4.484</v>
      </c>
      <c r="D7">
        <v>8.0190000000000001</v>
      </c>
      <c r="E7">
        <v>5.3840000000000003</v>
      </c>
    </row>
    <row r="8" spans="1:5" x14ac:dyDescent="0.3">
      <c r="A8" s="13">
        <v>40</v>
      </c>
      <c r="B8">
        <v>6.06</v>
      </c>
      <c r="C8">
        <v>4.3460000000000001</v>
      </c>
      <c r="D8">
        <v>8.0020000000000007</v>
      </c>
      <c r="E8">
        <v>5.2729999999999997</v>
      </c>
    </row>
    <row r="9" spans="1:5" x14ac:dyDescent="0.3">
      <c r="A9" s="13">
        <v>45</v>
      </c>
      <c r="B9">
        <v>5.798</v>
      </c>
      <c r="C9">
        <v>4.1280000000000001</v>
      </c>
      <c r="D9">
        <v>7.9489999999999998</v>
      </c>
      <c r="E9">
        <v>5.12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E6E694D46464BAB7F19F39EF009A5" ma:contentTypeVersion="14" ma:contentTypeDescription="Create a new document." ma:contentTypeScope="" ma:versionID="5b4c18996811309391bcea0665da12cf">
  <xsd:schema xmlns:xsd="http://www.w3.org/2001/XMLSchema" xmlns:xs="http://www.w3.org/2001/XMLSchema" xmlns:p="http://schemas.microsoft.com/office/2006/metadata/properties" xmlns:ns3="67adc6f7-6f59-49c0-85d8-115c1465d91d" xmlns:ns4="120cb10a-3ac0-434c-b3bc-34afe78e2212" targetNamespace="http://schemas.microsoft.com/office/2006/metadata/properties" ma:root="true" ma:fieldsID="590fc810980105ee1090e0843b600402" ns3:_="" ns4:_="">
    <xsd:import namespace="67adc6f7-6f59-49c0-85d8-115c1465d91d"/>
    <xsd:import namespace="120cb10a-3ac0-434c-b3bc-34afe78e22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dc6f7-6f59-49c0-85d8-115c1465d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cb10a-3ac0-434c-b3bc-34afe78e2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adc6f7-6f59-49c0-85d8-115c1465d9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8C800-62BE-4A75-A966-CCDFF3ECE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dc6f7-6f59-49c0-85d8-115c1465d91d"/>
    <ds:schemaRef ds:uri="120cb10a-3ac0-434c-b3bc-34afe78e2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74443D-0E23-44DE-9E00-06CA1C14E4FE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67adc6f7-6f59-49c0-85d8-115c1465d91d"/>
    <ds:schemaRef ds:uri="120cb10a-3ac0-434c-b3bc-34afe78e2212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AFC532D-58DD-4312-93EB-90E683BCAD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KEERATIKARN, KEERATI</dc:creator>
  <cp:lastModifiedBy>KEERATIKARN, KEERATI</cp:lastModifiedBy>
  <dcterms:created xsi:type="dcterms:W3CDTF">2025-04-03T16:50:43Z</dcterms:created>
  <dcterms:modified xsi:type="dcterms:W3CDTF">2025-04-07T20:07:07Z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0x010100C24E6E694D46464BAB7F19F39EF009A5</vt:lpwstr>
  </property>
</Properties>
</file>